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60716B99-48EF-4627-542C-1B4CF24DBC83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Sharjeel\Downloads\"/>
    </mc:Choice>
  </mc:AlternateContent>
  <xr:revisionPtr revIDLastSave="0" documentId="13_ncr:1_{A21AE7F3-45E1-4CE0-9AE9-D9A916823E26}" xr6:coauthVersionLast="47" xr6:coauthVersionMax="47" xr10:uidLastSave="{00000000-0000-0000-0000-000000000000}"/>
  <bookViews>
    <workbookView xWindow="-120" yWindow="-120" windowWidth="20730" windowHeight="11160" activeTab="1" xr2:uid="{1BAA13F9-2AD9-43A0-A381-FE6EAF705344}"/>
  </bookViews>
  <sheets>
    <sheet name="Operation enter" sheetId="1" r:id="rId1"/>
    <sheet name="Operations history" sheetId="2" r:id="rId2"/>
    <sheet name="Month summary" sheetId="3" r:id="rId3"/>
    <sheet name="Profile setting" sheetId="5" r:id="rId4"/>
    <sheet name="Lista" sheetId="6" r:id="rId5"/>
  </sheets>
  <definedNames>
    <definedName name="_xlnm._FilterDatabase" localSheetId="1" hidden="1">'Operations history'!$C$5:$L$16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8" i="2"/>
  <c r="G9" i="2"/>
  <c r="G10" i="2"/>
  <c r="G11" i="2"/>
  <c r="G12" i="2"/>
  <c r="G13" i="2"/>
  <c r="G14" i="2"/>
  <c r="G6" i="2"/>
  <c r="O13" i="3"/>
  <c r="O14" i="3"/>
  <c r="O12" i="3"/>
  <c r="M13" i="3"/>
  <c r="M14" i="3"/>
  <c r="M12" i="3"/>
  <c r="G13" i="3"/>
  <c r="G14" i="3"/>
  <c r="G15" i="3"/>
  <c r="G16" i="3"/>
  <c r="G12" i="3"/>
  <c r="E13" i="3"/>
  <c r="E14" i="3"/>
  <c r="E15" i="3"/>
  <c r="E16" i="3"/>
  <c r="E12" i="3"/>
  <c r="E10" i="1"/>
  <c r="E12" i="1" s="1"/>
  <c r="B5" i="6"/>
  <c r="B6" i="6"/>
  <c r="B7" i="6"/>
  <c r="B8" i="6"/>
  <c r="B9" i="6"/>
  <c r="B10" i="6"/>
  <c r="B11" i="6"/>
  <c r="B12" i="6"/>
  <c r="B13" i="6"/>
  <c r="B14" i="6"/>
  <c r="B4" i="6"/>
  <c r="L8" i="3" l="1"/>
  <c r="O15" i="3"/>
  <c r="D8" i="3"/>
  <c r="G17" i="3"/>
  <c r="G34" i="3" l="1"/>
  <c r="G36" i="3"/>
  <c r="N34" i="3" l="1"/>
</calcChain>
</file>

<file path=xl/sharedStrings.xml><?xml version="1.0" encoding="utf-8"?>
<sst xmlns="http://schemas.openxmlformats.org/spreadsheetml/2006/main" count="124" uniqueCount="47">
  <si>
    <t>COST</t>
  </si>
  <si>
    <t>INCOME</t>
  </si>
  <si>
    <t>Credit</t>
  </si>
  <si>
    <t>Materials</t>
  </si>
  <si>
    <t>Transport</t>
  </si>
  <si>
    <t>Employes payment</t>
  </si>
  <si>
    <t>Service</t>
  </si>
  <si>
    <t>Sell</t>
  </si>
  <si>
    <t>Other</t>
  </si>
  <si>
    <t>if</t>
  </si>
  <si>
    <t xml:space="preserve"> </t>
  </si>
  <si>
    <t>Income</t>
  </si>
  <si>
    <t>Type</t>
  </si>
  <si>
    <t>Category</t>
  </si>
  <si>
    <t>BRUT Value</t>
  </si>
  <si>
    <t>VAT tax (%)</t>
  </si>
  <si>
    <t>VAT tax (value)</t>
  </si>
  <si>
    <t>NET Value</t>
  </si>
  <si>
    <t>Title</t>
  </si>
  <si>
    <t>Comment</t>
  </si>
  <si>
    <t>Test title</t>
  </si>
  <si>
    <t>test comment</t>
  </si>
  <si>
    <t>Costs</t>
  </si>
  <si>
    <t>Incomes</t>
  </si>
  <si>
    <t>Cost</t>
  </si>
  <si>
    <t>NET</t>
  </si>
  <si>
    <t>VAT</t>
  </si>
  <si>
    <t>VAT included</t>
  </si>
  <si>
    <t>VAT due</t>
  </si>
  <si>
    <t>The amount of VAT paid to the tax office:</t>
  </si>
  <si>
    <t>The amount of income tax:</t>
  </si>
  <si>
    <t>PROFIT</t>
  </si>
  <si>
    <t>Date</t>
  </si>
  <si>
    <t>JUNE</t>
  </si>
  <si>
    <t>Information in settings</t>
  </si>
  <si>
    <t>Company name</t>
  </si>
  <si>
    <t>Form of income taxes</t>
  </si>
  <si>
    <t>Password changing</t>
  </si>
  <si>
    <t>Contact with us</t>
  </si>
  <si>
    <t>FROM:</t>
  </si>
  <si>
    <t>TO:</t>
  </si>
  <si>
    <t>SUMMARY VALUE</t>
  </si>
  <si>
    <t>Form of organization</t>
  </si>
  <si>
    <t>ENTER OPERATION</t>
  </si>
  <si>
    <t>OPERATIONS HISTORY</t>
  </si>
  <si>
    <t>MONTH SUMMARY</t>
  </si>
  <si>
    <t>PROFILE SETTING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</si>
</sst>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&quot;zł&quot;_-;\-* #,##0.00\ &quot;zł&quot;_-;_-* &quot;-&quot;??\ &quot;zł&quot;_-;_-@_-"/>
    <numFmt numFmtId="165" formatCode="#,##0.00\ &quot;zł&quot;"/>
  </numFmts>
  <fonts count="11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b/>
      <i/>
      <sz val="14"/>
      <color theme="1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i/>
      <sz val="18"/>
      <color rgb="FFFF0000"/>
      <name val="Aptos Narrow"/>
      <family val="2"/>
      <scheme val="minor"/>
    </font>
    <font>
      <b/>
      <i/>
      <sz val="18"/>
      <color rgb="FF92D05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b/>
      <sz val="55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4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3" borderId="0" xfId="0" applyFill="1"/>
    <xf numFmtId="9" fontId="0" fillId="0" borderId="0" xfId="2" applyFont="1"/>
    <xf numFmtId="9" fontId="0" fillId="0" borderId="1" xfId="2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9" fontId="0" fillId="3" borderId="0" xfId="2" applyFont="1" applyFill="1"/>
    <xf numFmtId="165" fontId="0" fillId="0" borderId="1" xfId="1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3" borderId="4" xfId="0" applyFill="1" applyBorder="1"/>
    <xf numFmtId="0" fontId="0" fillId="3" borderId="3" xfId="0" applyFill="1" applyBorder="1"/>
    <xf numFmtId="14" fontId="0" fillId="0" borderId="1" xfId="0" applyNumberFormat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65" fontId="0" fillId="3" borderId="0" xfId="0" applyNumberFormat="1" applyFill="1" applyAlignment="1">
      <alignment horizontal="center" vertical="center"/>
    </xf>
    <xf numFmtId="9" fontId="0" fillId="3" borderId="0" xfId="2" applyFont="1" applyFill="1" applyBorder="1" applyAlignment="1">
      <alignment horizontal="center" vertical="center"/>
    </xf>
    <xf numFmtId="165" fontId="0" fillId="3" borderId="0" xfId="1" applyNumberFormat="1" applyFont="1" applyFill="1" applyBorder="1" applyAlignment="1">
      <alignment horizontal="center" vertical="center"/>
    </xf>
    <xf numFmtId="0" fontId="0" fillId="2" borderId="4" xfId="0" applyFill="1" applyBorder="1"/>
    <xf numFmtId="0" fontId="0" fillId="3" borderId="1" xfId="0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4" borderId="1" xfId="0" applyNumberFormat="1" applyFill="1" applyBorder="1" applyAlignment="1">
      <alignment horizontal="center" vertical="center"/>
    </xf>
    <xf numFmtId="9" fontId="0" fillId="5" borderId="1" xfId="2" applyFon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65" fontId="0" fillId="3" borderId="1" xfId="0" applyNumberFormat="1" applyFill="1" applyBorder="1" applyAlignment="1">
      <alignment horizontal="center" vertical="center"/>
    </xf>
    <xf numFmtId="0" fontId="7" fillId="3" borderId="0" xfId="0" applyFont="1" applyFill="1" applyAlignment="1">
      <alignment horizontal="right" vertical="center"/>
    </xf>
    <xf numFmtId="14" fontId="0" fillId="3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3" fillId="6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8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9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1" xfId="0" applyFill="1" applyBorder="1" applyAlignment="1">
      <alignment horizontal="right" vertical="center"/>
    </xf>
    <xf numFmtId="0" fontId="7" fillId="3" borderId="1" xfId="0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6" fillId="0" borderId="0" xfId="0" applyFont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'Operations history'!$G$5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'Operations history'!$G$6:$G$18</c:f>
              <c:numCache>
                <c:formatCode>#,##0.00\ "zł"</c:formatCode>
                <c:ptCount val="13"/>
                <c:pt idx="0">
                  <c:v>12300</c:v>
                </c:pt>
                <c:pt idx="1">
                  <c:v>12884</c:v>
                </c:pt>
                <c:pt idx="2">
                  <c:v>19884</c:v>
                </c:pt>
                <c:pt idx="3">
                  <c:v>19684</c:v>
                </c:pt>
                <c:pt idx="4">
                  <c:v>13684</c:v>
                </c:pt>
                <c:pt idx="5">
                  <c:v>13484</c:v>
                </c:pt>
                <c:pt idx="6">
                  <c:v>11084</c:v>
                </c:pt>
                <c:pt idx="7">
                  <c:v>10884</c:v>
                </c:pt>
                <c:pt idx="8">
                  <c:v>12884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'Operations history'!#REF!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993-4CF8-87E7-D98D236E5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4831680"/>
        <c:axId val="254832160"/>
      </c:lineChart>
      <c:catAx>
        <c:axId val="254831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254832160"/>
        <c:crosses val="autoZero"/>
        <c:auto val="1"/>
        <c:lblAlgn val="ctr"/>
        <c:lblOffset val="100"/>
        <c:noMultiLvlLbl val="1"/>
      </c:catAx>
      <c:valAx>
        <c:axId val="25483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zł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25483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18</xdr:row>
          <xdr:rowOff>47625</xdr:rowOff>
        </xdr:from>
        <xdr:to>
          <xdr:col>5</xdr:col>
          <xdr:colOff>9525</xdr:colOff>
          <xdr:row>22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K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438979</xdr:colOff>
      <xdr:row>1</xdr:row>
      <xdr:rowOff>49696</xdr:rowOff>
    </xdr:from>
    <xdr:to>
      <xdr:col>20</xdr:col>
      <xdr:colOff>405849</xdr:colOff>
      <xdr:row>4</xdr:row>
      <xdr:rowOff>157370</xdr:rowOff>
    </xdr:to>
    <xdr:sp macro="" textlink="">
      <xdr:nvSpPr>
        <xdr:cNvPr id="7" name="Prostokąt: zaokrąglone rogi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4693349" y="240196"/>
          <a:ext cx="1805609" cy="679174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800" b="1"/>
            <a:t>JANUARY</a:t>
          </a:r>
        </a:p>
      </xdr:txBody>
    </xdr:sp>
    <xdr:clientData/>
  </xdr:twoCellAnchor>
  <xdr:twoCellAnchor>
    <xdr:from>
      <xdr:col>17</xdr:col>
      <xdr:colOff>442292</xdr:colOff>
      <xdr:row>5</xdr:row>
      <xdr:rowOff>110988</xdr:rowOff>
    </xdr:from>
    <xdr:to>
      <xdr:col>20</xdr:col>
      <xdr:colOff>409162</xdr:colOff>
      <xdr:row>9</xdr:row>
      <xdr:rowOff>28162</xdr:rowOff>
    </xdr:to>
    <xdr:sp macro="" textlink="">
      <xdr:nvSpPr>
        <xdr:cNvPr id="8" name="Prostokąt: zaokrąglone rogi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4696662" y="1063488"/>
          <a:ext cx="1805609" cy="679174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800" b="1"/>
            <a:t>FEBRUARY</a:t>
          </a:r>
        </a:p>
      </xdr:txBody>
    </xdr:sp>
    <xdr:clientData/>
  </xdr:twoCellAnchor>
  <xdr:twoCellAnchor>
    <xdr:from>
      <xdr:col>17</xdr:col>
      <xdr:colOff>462169</xdr:colOff>
      <xdr:row>14</xdr:row>
      <xdr:rowOff>31474</xdr:rowOff>
    </xdr:from>
    <xdr:to>
      <xdr:col>20</xdr:col>
      <xdr:colOff>429039</xdr:colOff>
      <xdr:row>17</xdr:row>
      <xdr:rowOff>139148</xdr:rowOff>
    </xdr:to>
    <xdr:sp macro="" textlink="">
      <xdr:nvSpPr>
        <xdr:cNvPr id="9" name="Prostokąt: zaokrąglone rogi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4716539" y="2698474"/>
          <a:ext cx="1805609" cy="679174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800" b="1"/>
            <a:t>APRIL</a:t>
          </a:r>
        </a:p>
      </xdr:txBody>
    </xdr:sp>
    <xdr:clientData/>
  </xdr:twoCellAnchor>
  <xdr:twoCellAnchor>
    <xdr:from>
      <xdr:col>17</xdr:col>
      <xdr:colOff>457200</xdr:colOff>
      <xdr:row>10</xdr:row>
      <xdr:rowOff>1657</xdr:rowOff>
    </xdr:from>
    <xdr:to>
      <xdr:col>20</xdr:col>
      <xdr:colOff>424070</xdr:colOff>
      <xdr:row>13</xdr:row>
      <xdr:rowOff>109331</xdr:rowOff>
    </xdr:to>
    <xdr:sp macro="" textlink="">
      <xdr:nvSpPr>
        <xdr:cNvPr id="10" name="Prostokąt: zaokrąglone rogi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4711570" y="1906657"/>
          <a:ext cx="1805609" cy="679174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800" b="1"/>
            <a:t>MARCH</a:t>
          </a:r>
        </a:p>
      </xdr:txBody>
    </xdr:sp>
    <xdr:clientData/>
  </xdr:twoCellAnchor>
  <xdr:twoCellAnchor>
    <xdr:from>
      <xdr:col>17</xdr:col>
      <xdr:colOff>465483</xdr:colOff>
      <xdr:row>18</xdr:row>
      <xdr:rowOff>84482</xdr:rowOff>
    </xdr:from>
    <xdr:to>
      <xdr:col>20</xdr:col>
      <xdr:colOff>432353</xdr:colOff>
      <xdr:row>22</xdr:row>
      <xdr:rowOff>1656</xdr:rowOff>
    </xdr:to>
    <xdr:sp macro="" textlink="">
      <xdr:nvSpPr>
        <xdr:cNvPr id="11" name="Prostokąt: zaokrąglone rogi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4719853" y="3513482"/>
          <a:ext cx="1805609" cy="679174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800" b="1"/>
            <a:t>MAY</a:t>
          </a:r>
        </a:p>
      </xdr:txBody>
    </xdr:sp>
    <xdr:clientData/>
  </xdr:twoCellAnchor>
  <xdr:twoCellAnchor>
    <xdr:from>
      <xdr:col>17</xdr:col>
      <xdr:colOff>477078</xdr:colOff>
      <xdr:row>22</xdr:row>
      <xdr:rowOff>154057</xdr:rowOff>
    </xdr:from>
    <xdr:to>
      <xdr:col>20</xdr:col>
      <xdr:colOff>443948</xdr:colOff>
      <xdr:row>26</xdr:row>
      <xdr:rowOff>71231</xdr:rowOff>
    </xdr:to>
    <xdr:sp macro="" textlink="">
      <xdr:nvSpPr>
        <xdr:cNvPr id="12" name="Prostokąt: zaokrąglone rogi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4731448" y="4345057"/>
          <a:ext cx="1805609" cy="679174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800" b="1">
              <a:solidFill>
                <a:schemeClr val="tx1"/>
              </a:solidFill>
            </a:rPr>
            <a:t>JUNE</a:t>
          </a:r>
        </a:p>
      </xdr:txBody>
    </xdr:sp>
    <xdr:clientData/>
  </xdr:twoCellAnchor>
  <xdr:twoCellAnchor>
    <xdr:from>
      <xdr:col>2</xdr:col>
      <xdr:colOff>588065</xdr:colOff>
      <xdr:row>18</xdr:row>
      <xdr:rowOff>82825</xdr:rowOff>
    </xdr:from>
    <xdr:to>
      <xdr:col>16</xdr:col>
      <xdr:colOff>24847</xdr:colOff>
      <xdr:row>32</xdr:row>
      <xdr:rowOff>91108</xdr:rowOff>
    </xdr:to>
    <xdr:graphicFrame macro="">
      <xdr:nvGraphicFramePr>
        <xdr:cNvPr id="17" name="Wykre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600808</xdr:colOff>
      <xdr:row>30</xdr:row>
      <xdr:rowOff>102577</xdr:rowOff>
    </xdr:from>
    <xdr:to>
      <xdr:col>20</xdr:col>
      <xdr:colOff>168519</xdr:colOff>
      <xdr:row>37</xdr:row>
      <xdr:rowOff>95250</xdr:rowOff>
    </xdr:to>
    <xdr:sp macro="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4807712" y="5817577"/>
          <a:ext cx="1392115" cy="132617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400"/>
            <a:t>CLOSE</a:t>
          </a:r>
          <a:r>
            <a:rPr lang="pl-PL" sz="2400" baseline="0"/>
            <a:t> THIS MONT</a:t>
          </a:r>
          <a:endParaRPr lang="pl-PL" sz="2400"/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0BE68-DF5B-417F-8E01-A86365E66B53}">
  <sheetPr codeName="Arkusz1"/>
  <dimension ref="A1:G23"/>
  <sheetViews>
    <sheetView zoomScale="80" zoomScaleNormal="80" workbookViewId="0">
      <selection activeCell="D12" sqref="D12:D13"/>
    </sheetView>
  </sheetViews>
  <sheetFormatPr defaultColWidth="0" defaultRowHeight="15" zeroHeight="1" x14ac:dyDescent="0.25"/>
  <cols>
    <col min="1" max="1" width="63.28515625" style="1" customWidth="1"/>
    <col min="2" max="3" width="9.140625" customWidth="1"/>
    <col min="4" max="4" width="14.5703125" customWidth="1"/>
    <col min="5" max="5" width="38.140625" customWidth="1"/>
    <col min="6" max="6" width="14.42578125" customWidth="1"/>
    <col min="7" max="7" width="18.28515625" hidden="1" customWidth="1"/>
    <col min="8" max="16384" width="9.140625" hidden="1"/>
  </cols>
  <sheetData>
    <row r="1" spans="1:6" x14ac:dyDescent="0.25">
      <c r="B1" s="22"/>
      <c r="C1" s="22"/>
      <c r="D1" s="22"/>
      <c r="E1" s="22"/>
      <c r="F1" s="22"/>
    </row>
    <row r="2" spans="1:6" x14ac:dyDescent="0.25">
      <c r="A2" s="20" t="s">
        <v>43</v>
      </c>
      <c r="B2" s="4"/>
      <c r="C2" s="4"/>
      <c r="D2" s="19" t="s">
        <v>12</v>
      </c>
      <c r="E2" s="21" t="s">
        <v>11</v>
      </c>
      <c r="F2" s="4"/>
    </row>
    <row r="3" spans="1:6" x14ac:dyDescent="0.25">
      <c r="A3" s="20"/>
      <c r="B3" s="4"/>
      <c r="C3" s="4"/>
      <c r="D3" s="19"/>
      <c r="E3" s="21"/>
      <c r="F3" s="4"/>
    </row>
    <row r="4" spans="1:6" x14ac:dyDescent="0.25">
      <c r="A4" s="20"/>
      <c r="B4" s="4"/>
      <c r="C4" s="4"/>
      <c r="D4" s="19" t="s">
        <v>13</v>
      </c>
      <c r="E4" s="21" t="s">
        <v>7</v>
      </c>
      <c r="F4" s="4"/>
    </row>
    <row r="5" spans="1:6" x14ac:dyDescent="0.25">
      <c r="A5" s="20" t="s">
        <v>44</v>
      </c>
      <c r="B5" s="4"/>
      <c r="C5" s="4"/>
      <c r="D5" s="19"/>
      <c r="E5" s="21"/>
      <c r="F5" s="4"/>
    </row>
    <row r="6" spans="1:6" x14ac:dyDescent="0.25">
      <c r="A6" s="20"/>
      <c r="B6" s="4"/>
      <c r="C6" s="4"/>
      <c r="D6" s="19" t="s">
        <v>14</v>
      </c>
      <c r="E6" s="23">
        <v>3600</v>
      </c>
      <c r="F6" s="4"/>
    </row>
    <row r="7" spans="1:6" x14ac:dyDescent="0.25">
      <c r="A7" s="20"/>
      <c r="B7" s="4"/>
      <c r="C7" s="4"/>
      <c r="D7" s="19"/>
      <c r="E7" s="23"/>
      <c r="F7" s="4"/>
    </row>
    <row r="8" spans="1:6" x14ac:dyDescent="0.25">
      <c r="A8" s="20" t="s">
        <v>45</v>
      </c>
      <c r="B8" s="4"/>
      <c r="C8" s="4"/>
      <c r="D8" s="19" t="s">
        <v>15</v>
      </c>
      <c r="E8" s="24">
        <v>0.08</v>
      </c>
      <c r="F8" s="4"/>
    </row>
    <row r="9" spans="1:6" x14ac:dyDescent="0.25">
      <c r="A9" s="20"/>
      <c r="B9" s="4"/>
      <c r="C9" s="4"/>
      <c r="D9" s="19"/>
      <c r="E9" s="24"/>
      <c r="F9" s="4"/>
    </row>
    <row r="10" spans="1:6" x14ac:dyDescent="0.25">
      <c r="A10" s="20"/>
      <c r="B10" s="4"/>
      <c r="C10" s="4"/>
      <c r="D10" s="19" t="s">
        <v>16</v>
      </c>
      <c r="E10" s="25">
        <f>E6/(1+E8)*E8</f>
        <v>266.66666666666663</v>
      </c>
      <c r="F10" s="4"/>
    </row>
    <row r="11" spans="1:6" x14ac:dyDescent="0.25">
      <c r="A11" s="20"/>
      <c r="B11" s="4"/>
      <c r="C11" s="4"/>
      <c r="D11" s="19"/>
      <c r="E11" s="25"/>
      <c r="F11" s="4"/>
    </row>
    <row r="12" spans="1:6" x14ac:dyDescent="0.25">
      <c r="A12" s="20"/>
      <c r="B12" s="4"/>
      <c r="C12" s="4"/>
      <c r="D12" s="19" t="s">
        <v>17</v>
      </c>
      <c r="E12" s="25">
        <f>E6-E10</f>
        <v>3333.3333333333335</v>
      </c>
      <c r="F12" s="4"/>
    </row>
    <row r="13" spans="1:6" x14ac:dyDescent="0.25">
      <c r="A13" s="20"/>
      <c r="B13" s="4"/>
      <c r="C13" s="4"/>
      <c r="D13" s="19"/>
      <c r="E13" s="26"/>
      <c r="F13" s="4"/>
    </row>
    <row r="14" spans="1:6" x14ac:dyDescent="0.25">
      <c r="A14" s="20" t="s">
        <v>46</v>
      </c>
      <c r="B14" s="4"/>
      <c r="C14" s="4"/>
      <c r="D14" s="19" t="s">
        <v>18</v>
      </c>
      <c r="E14" s="21" t="s">
        <v>20</v>
      </c>
      <c r="F14" s="4"/>
    </row>
    <row r="15" spans="1:6" x14ac:dyDescent="0.25">
      <c r="A15" s="20"/>
      <c r="B15" s="4"/>
      <c r="C15" s="4"/>
      <c r="D15" s="19"/>
      <c r="E15" s="21"/>
      <c r="F15" s="4"/>
    </row>
    <row r="16" spans="1:6" x14ac:dyDescent="0.25">
      <c r="A16" s="20"/>
      <c r="B16" s="4"/>
      <c r="C16" s="4"/>
      <c r="D16" s="19" t="s">
        <v>19</v>
      </c>
      <c r="E16" s="21" t="s">
        <v>21</v>
      </c>
      <c r="F16" s="4"/>
    </row>
    <row r="17" spans="2:6" x14ac:dyDescent="0.25">
      <c r="B17" s="4"/>
      <c r="C17" s="4"/>
      <c r="D17" s="19"/>
      <c r="E17" s="21"/>
      <c r="F17" s="4"/>
    </row>
    <row r="18" spans="2:6" x14ac:dyDescent="0.25">
      <c r="B18" s="4"/>
      <c r="C18" s="4"/>
      <c r="D18" s="4"/>
      <c r="E18" s="4"/>
      <c r="F18" s="4"/>
    </row>
    <row r="19" spans="2:6" x14ac:dyDescent="0.25">
      <c r="B19" s="4"/>
      <c r="C19" s="4"/>
      <c r="D19" s="4"/>
      <c r="E19" s="4"/>
      <c r="F19" s="4"/>
    </row>
    <row r="20" spans="2:6" x14ac:dyDescent="0.25">
      <c r="B20" s="4"/>
      <c r="C20" s="4"/>
      <c r="D20" s="4"/>
      <c r="E20" s="4"/>
      <c r="F20" s="4"/>
    </row>
    <row r="21" spans="2:6" x14ac:dyDescent="0.25">
      <c r="B21" s="4"/>
      <c r="C21" s="4"/>
      <c r="D21" s="4"/>
      <c r="E21" s="4"/>
      <c r="F21" s="4"/>
    </row>
    <row r="22" spans="2:6" x14ac:dyDescent="0.25">
      <c r="B22" s="4"/>
      <c r="C22" s="4"/>
      <c r="D22" s="4"/>
      <c r="E22" s="4"/>
      <c r="F22" s="4"/>
    </row>
    <row r="23" spans="2:6" x14ac:dyDescent="0.25">
      <c r="B23" s="4"/>
      <c r="C23" s="4"/>
      <c r="D23" s="4"/>
      <c r="E23" s="4"/>
      <c r="F23" s="4"/>
    </row>
  </sheetData>
  <mergeCells count="22">
    <mergeCell ref="A14:A16"/>
    <mergeCell ref="D2:D3"/>
    <mergeCell ref="E2:E3"/>
    <mergeCell ref="B1:F1"/>
    <mergeCell ref="D14:D15"/>
    <mergeCell ref="D16:D17"/>
    <mergeCell ref="E4:E5"/>
    <mergeCell ref="E6:E7"/>
    <mergeCell ref="E8:E9"/>
    <mergeCell ref="E10:E11"/>
    <mergeCell ref="E12:E13"/>
    <mergeCell ref="E14:E15"/>
    <mergeCell ref="E16:E17"/>
    <mergeCell ref="D4:D5"/>
    <mergeCell ref="D6:D7"/>
    <mergeCell ref="D8:D9"/>
    <mergeCell ref="D12:D13"/>
    <mergeCell ref="A2:A4"/>
    <mergeCell ref="A5:A7"/>
    <mergeCell ref="A8:A10"/>
    <mergeCell ref="A11:A13"/>
    <mergeCell ref="D10:D11"/>
  </mergeCells>
  <dataValidations count="2">
    <dataValidation type="list" allowBlank="1" showInputMessage="1" showErrorMessage="1" sqref="E2" xr:uid="{A794DAC3-547E-4566-A2A1-7B4F47734263}">
      <formula1>"Income, Cost"</formula1>
    </dataValidation>
    <dataValidation type="list" allowBlank="1" showInputMessage="1" showErrorMessage="1" sqref="E8:E9" xr:uid="{24EB85D3-E5F9-450A-98FC-E751AC6B8BF1}">
      <formula1>"0,0,08,0,23"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KopiujDoHistorii">
                <anchor moveWithCells="1" sizeWithCells="1">
                  <from>
                    <xdr:col>3</xdr:col>
                    <xdr:colOff>333375</xdr:colOff>
                    <xdr:row>18</xdr:row>
                    <xdr:rowOff>47625</xdr:rowOff>
                  </from>
                  <to>
                    <xdr:col>5</xdr:col>
                    <xdr:colOff>9525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024AC5D-2E10-430D-AE9E-FFF46A100CDA}">
          <x14:formula1>
            <xm:f>Lista!$B$4:$B$14</xm:f>
          </x14:formula1>
          <xm:sqref>E4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1EC74-E02D-4305-9491-B6865A01A448}">
  <sheetPr codeName="Arkusz2"/>
  <dimension ref="A1:O49"/>
  <sheetViews>
    <sheetView tabSelected="1" topLeftCell="B1" zoomScale="73" zoomScaleNormal="73" workbookViewId="0">
      <selection activeCell="E1" sqref="E1:F2"/>
    </sheetView>
  </sheetViews>
  <sheetFormatPr defaultColWidth="0" defaultRowHeight="15" zeroHeight="1" x14ac:dyDescent="0.25"/>
  <cols>
    <col min="1" max="1" width="63.28515625" style="18" customWidth="1"/>
    <col min="2" max="2" width="9.140625" customWidth="1"/>
    <col min="3" max="12" width="21.28515625" customWidth="1"/>
    <col min="14" max="14" width="9.140625" customWidth="1"/>
    <col min="15" max="15" width="0" hidden="1" customWidth="1"/>
    <col min="16" max="16384" width="9.140625" hidden="1"/>
  </cols>
  <sheetData>
    <row r="1" spans="1:14" x14ac:dyDescent="0.25">
      <c r="B1" s="4"/>
      <c r="C1" s="30" t="s">
        <v>39</v>
      </c>
      <c r="D1" s="30"/>
      <c r="E1" s="31">
        <v>45444</v>
      </c>
      <c r="F1" s="28"/>
      <c r="G1" s="30" t="s">
        <v>40</v>
      </c>
      <c r="H1" s="30"/>
      <c r="I1" s="31">
        <v>45471</v>
      </c>
      <c r="J1" s="31"/>
      <c r="K1" s="4"/>
      <c r="L1" s="4"/>
      <c r="M1" s="4"/>
      <c r="N1" s="4"/>
    </row>
    <row r="2" spans="1:14" x14ac:dyDescent="0.25">
      <c r="B2" s="4"/>
      <c r="C2" s="30"/>
      <c r="D2" s="30"/>
      <c r="E2" s="28"/>
      <c r="F2" s="28"/>
      <c r="G2" s="30"/>
      <c r="H2" s="30"/>
      <c r="I2" s="31"/>
      <c r="J2" s="31"/>
      <c r="K2" s="4"/>
      <c r="L2" s="4"/>
      <c r="M2" s="4"/>
      <c r="N2" s="4"/>
    </row>
    <row r="3" spans="1:14" x14ac:dyDescent="0.25">
      <c r="A3" s="20" t="s">
        <v>43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N3" s="4"/>
    </row>
    <row r="4" spans="1:14" x14ac:dyDescent="0.25">
      <c r="A4" s="20"/>
      <c r="B4" s="4"/>
      <c r="C4" s="4"/>
      <c r="N4" s="4"/>
    </row>
    <row r="5" spans="1:14" ht="18.75" x14ac:dyDescent="0.25">
      <c r="A5" s="20"/>
      <c r="B5" s="4"/>
      <c r="C5" s="7" t="s">
        <v>32</v>
      </c>
      <c r="D5" s="7" t="s">
        <v>12</v>
      </c>
      <c r="E5" s="7" t="s">
        <v>13</v>
      </c>
      <c r="F5" s="7" t="s">
        <v>14</v>
      </c>
      <c r="G5" s="7" t="s">
        <v>31</v>
      </c>
      <c r="H5" s="7" t="s">
        <v>15</v>
      </c>
      <c r="I5" s="7" t="s">
        <v>16</v>
      </c>
      <c r="J5" s="7" t="s">
        <v>17</v>
      </c>
      <c r="K5" s="7" t="s">
        <v>18</v>
      </c>
      <c r="L5" s="7" t="s">
        <v>19</v>
      </c>
      <c r="N5" s="4"/>
    </row>
    <row r="6" spans="1:14" x14ac:dyDescent="0.25">
      <c r="A6" s="20" t="s">
        <v>44</v>
      </c>
      <c r="B6" s="4"/>
      <c r="C6" s="13">
        <v>45445</v>
      </c>
      <c r="D6" s="3" t="s">
        <v>11</v>
      </c>
      <c r="E6" s="3" t="s">
        <v>7</v>
      </c>
      <c r="F6" s="10">
        <v>12300</v>
      </c>
      <c r="G6" s="10">
        <f>SUM($F$6:F6)</f>
        <v>12300</v>
      </c>
      <c r="H6" s="6">
        <v>7.9999998211860657E-2</v>
      </c>
      <c r="I6" s="9">
        <v>911.111083984375</v>
      </c>
      <c r="J6" s="9">
        <v>11388.888671875</v>
      </c>
      <c r="K6" s="3" t="s">
        <v>20</v>
      </c>
      <c r="L6" s="3" t="s">
        <v>21</v>
      </c>
      <c r="N6" s="4"/>
    </row>
    <row r="7" spans="1:14" x14ac:dyDescent="0.25">
      <c r="A7" s="20"/>
      <c r="B7" s="4"/>
      <c r="C7" s="13">
        <v>45446</v>
      </c>
      <c r="D7" s="3" t="s">
        <v>11</v>
      </c>
      <c r="E7" s="3" t="s">
        <v>6</v>
      </c>
      <c r="F7" s="10">
        <v>584</v>
      </c>
      <c r="G7" s="10">
        <f>SUM($F$6:F7)</f>
        <v>12884</v>
      </c>
      <c r="H7" s="6">
        <v>0.23000000417232513</v>
      </c>
      <c r="I7" s="9">
        <v>109.20330047607422</v>
      </c>
      <c r="J7" s="9">
        <v>474.79669189453125</v>
      </c>
      <c r="K7" s="3" t="s">
        <v>20</v>
      </c>
      <c r="L7" s="3" t="s">
        <v>21</v>
      </c>
      <c r="N7" s="4"/>
    </row>
    <row r="8" spans="1:14" x14ac:dyDescent="0.25">
      <c r="A8" s="20"/>
      <c r="B8" s="4"/>
      <c r="C8" s="13">
        <v>45447</v>
      </c>
      <c r="D8" s="3" t="s">
        <v>11</v>
      </c>
      <c r="E8" s="3" t="s">
        <v>6</v>
      </c>
      <c r="F8" s="10">
        <v>7000</v>
      </c>
      <c r="G8" s="10">
        <f>SUM($F$6:F8)</f>
        <v>19884</v>
      </c>
      <c r="H8" s="6">
        <v>0.23000000417232513</v>
      </c>
      <c r="I8" s="9">
        <v>1308.943115234375</v>
      </c>
      <c r="J8" s="9">
        <v>5691.05712890625</v>
      </c>
      <c r="K8" s="3" t="s">
        <v>20</v>
      </c>
      <c r="L8" s="3" t="s">
        <v>21</v>
      </c>
      <c r="N8" s="4"/>
    </row>
    <row r="9" spans="1:14" x14ac:dyDescent="0.25">
      <c r="A9" s="20" t="s">
        <v>45</v>
      </c>
      <c r="B9" s="4"/>
      <c r="C9" s="13">
        <v>45448</v>
      </c>
      <c r="D9" s="3" t="s">
        <v>24</v>
      </c>
      <c r="E9" s="3" t="s">
        <v>2</v>
      </c>
      <c r="F9" s="10">
        <v>-200</v>
      </c>
      <c r="G9" s="10">
        <f>SUM($F$6:F9)</f>
        <v>19684</v>
      </c>
      <c r="H9" s="6">
        <v>0</v>
      </c>
      <c r="I9" s="9">
        <v>0</v>
      </c>
      <c r="J9" s="9">
        <v>200</v>
      </c>
      <c r="K9" s="3" t="s">
        <v>20</v>
      </c>
      <c r="L9" s="3" t="s">
        <v>21</v>
      </c>
      <c r="N9" s="4"/>
    </row>
    <row r="10" spans="1:14" x14ac:dyDescent="0.25">
      <c r="A10" s="20"/>
      <c r="B10" s="4"/>
      <c r="C10" s="13">
        <v>45449</v>
      </c>
      <c r="D10" s="3" t="s">
        <v>24</v>
      </c>
      <c r="E10" s="3" t="s">
        <v>3</v>
      </c>
      <c r="F10" s="10">
        <v>-6000</v>
      </c>
      <c r="G10" s="10">
        <f>SUM($F$6:F10)</f>
        <v>13684</v>
      </c>
      <c r="H10" s="6">
        <v>0.23000000417232513</v>
      </c>
      <c r="I10" s="9">
        <v>1121.951171875</v>
      </c>
      <c r="J10" s="9">
        <v>4878.048828125</v>
      </c>
      <c r="K10" s="3" t="s">
        <v>20</v>
      </c>
      <c r="L10" s="3" t="s">
        <v>21</v>
      </c>
      <c r="N10" s="4"/>
    </row>
    <row r="11" spans="1:14" x14ac:dyDescent="0.25">
      <c r="A11" s="20"/>
      <c r="B11" s="4"/>
      <c r="C11" s="13">
        <v>45450</v>
      </c>
      <c r="D11" s="3" t="s">
        <v>24</v>
      </c>
      <c r="E11" s="3" t="s">
        <v>4</v>
      </c>
      <c r="F11" s="10">
        <v>-200</v>
      </c>
      <c r="G11" s="10">
        <f>SUM($F$6:F11)</f>
        <v>13484</v>
      </c>
      <c r="H11" s="6">
        <v>7.9999998211860657E-2</v>
      </c>
      <c r="I11" s="9">
        <v>14.814800262451172</v>
      </c>
      <c r="J11" s="9">
        <v>185.18519592285156</v>
      </c>
      <c r="K11" s="3" t="s">
        <v>20</v>
      </c>
      <c r="L11" s="3" t="s">
        <v>21</v>
      </c>
      <c r="N11" s="4"/>
    </row>
    <row r="12" spans="1:14" x14ac:dyDescent="0.25">
      <c r="A12" s="20"/>
      <c r="B12" s="4"/>
      <c r="C12" s="13">
        <v>45451</v>
      </c>
      <c r="D12" s="3" t="s">
        <v>24</v>
      </c>
      <c r="E12" s="3" t="s">
        <v>5</v>
      </c>
      <c r="F12" s="10">
        <v>-2400</v>
      </c>
      <c r="G12" s="10">
        <f>SUM($F$6:F12)</f>
        <v>11084</v>
      </c>
      <c r="H12" s="6">
        <v>0</v>
      </c>
      <c r="I12" s="9">
        <v>0</v>
      </c>
      <c r="J12" s="9">
        <v>2400</v>
      </c>
      <c r="K12" s="3" t="s">
        <v>20</v>
      </c>
      <c r="L12" s="3" t="s">
        <v>21</v>
      </c>
      <c r="N12" s="4"/>
    </row>
    <row r="13" spans="1:14" x14ac:dyDescent="0.25">
      <c r="A13" s="20"/>
      <c r="B13" s="4"/>
      <c r="C13" s="13">
        <v>45452</v>
      </c>
      <c r="D13" s="3" t="s">
        <v>24</v>
      </c>
      <c r="E13" s="3" t="s">
        <v>4</v>
      </c>
      <c r="F13" s="10">
        <v>-200</v>
      </c>
      <c r="G13" s="10">
        <f>SUM($F$6:F13)</f>
        <v>10884</v>
      </c>
      <c r="H13" s="6">
        <v>7.9999998211860657E-2</v>
      </c>
      <c r="I13" s="9">
        <v>14.814800262451172</v>
      </c>
      <c r="J13" s="9">
        <v>185.18519592285156</v>
      </c>
      <c r="K13" s="3" t="s">
        <v>20</v>
      </c>
      <c r="L13" s="3" t="s">
        <v>21</v>
      </c>
      <c r="N13" s="4"/>
    </row>
    <row r="14" spans="1:14" x14ac:dyDescent="0.25">
      <c r="A14" s="20"/>
      <c r="B14" s="4"/>
      <c r="C14" s="13">
        <v>45454</v>
      </c>
      <c r="D14" s="3" t="s">
        <v>11</v>
      </c>
      <c r="E14" s="3" t="s">
        <v>6</v>
      </c>
      <c r="F14" s="10">
        <v>2000</v>
      </c>
      <c r="G14" s="10">
        <f>SUM($F$6:F14)</f>
        <v>12884</v>
      </c>
      <c r="H14" s="6">
        <v>7.9999998211860657E-2</v>
      </c>
      <c r="I14" s="9">
        <v>148.14810180664063</v>
      </c>
      <c r="J14" s="9">
        <v>1851.8519287109375</v>
      </c>
      <c r="K14" s="3" t="s">
        <v>20</v>
      </c>
      <c r="L14" s="3" t="s">
        <v>21</v>
      </c>
      <c r="N14" s="4"/>
    </row>
    <row r="15" spans="1:14" x14ac:dyDescent="0.25">
      <c r="A15" s="20" t="s">
        <v>46</v>
      </c>
      <c r="B15" s="4"/>
      <c r="C15" s="13">
        <v>45463</v>
      </c>
      <c r="D15" s="3" t="s">
        <v>24</v>
      </c>
      <c r="E15" s="3" t="s">
        <v>5</v>
      </c>
      <c r="F15" s="10">
        <v>3600</v>
      </c>
      <c r="G15" s="10"/>
      <c r="H15" s="10"/>
      <c r="I15" s="9">
        <v>266.66668701171875</v>
      </c>
      <c r="J15" s="9">
        <v>3333.333251953125</v>
      </c>
      <c r="K15" s="9" t="s">
        <v>20</v>
      </c>
      <c r="L15" s="3" t="s">
        <v>21</v>
      </c>
      <c r="N15" s="4"/>
    </row>
    <row r="16" spans="1:14" x14ac:dyDescent="0.25">
      <c r="A16" s="20"/>
      <c r="B16" s="4"/>
      <c r="C16" s="13">
        <v>45470</v>
      </c>
      <c r="D16" s="3" t="s">
        <v>11</v>
      </c>
      <c r="E16" s="3" t="s">
        <v>7</v>
      </c>
      <c r="F16" s="10">
        <v>3600</v>
      </c>
      <c r="G16" s="10"/>
      <c r="H16" s="10"/>
      <c r="I16" s="9">
        <v>266.66668701171875</v>
      </c>
      <c r="J16" s="9">
        <v>3333.333251953125</v>
      </c>
      <c r="K16" s="9" t="s">
        <v>20</v>
      </c>
      <c r="L16" s="3" t="s">
        <v>21</v>
      </c>
      <c r="N16" s="4"/>
    </row>
    <row r="17" spans="1:14" x14ac:dyDescent="0.25">
      <c r="A17" s="20"/>
      <c r="B17" s="4"/>
      <c r="C17" s="14"/>
      <c r="D17" s="14"/>
      <c r="E17" s="14"/>
      <c r="F17" s="15"/>
      <c r="G17" s="15"/>
      <c r="H17" s="16"/>
      <c r="I17" s="17"/>
      <c r="J17" s="17"/>
      <c r="K17" s="14"/>
      <c r="L17" s="14"/>
      <c r="N17" s="4"/>
    </row>
    <row r="18" spans="1:14" x14ac:dyDescent="0.25">
      <c r="B18" s="4"/>
      <c r="C18" s="27" t="s">
        <v>41</v>
      </c>
      <c r="D18" s="28"/>
      <c r="E18" s="28"/>
      <c r="F18" s="29">
        <v>20084</v>
      </c>
      <c r="G18" s="28"/>
      <c r="H18" s="28"/>
      <c r="I18" s="29">
        <v>10295.65</v>
      </c>
      <c r="J18" s="28"/>
      <c r="K18" s="28"/>
      <c r="L18" s="28"/>
      <c r="N18" s="4"/>
    </row>
    <row r="19" spans="1:14" x14ac:dyDescent="0.25">
      <c r="B19" s="4"/>
      <c r="C19" s="27"/>
      <c r="D19" s="28"/>
      <c r="E19" s="28"/>
      <c r="F19" s="29"/>
      <c r="G19" s="28"/>
      <c r="H19" s="28"/>
      <c r="I19" s="29"/>
      <c r="J19" s="28"/>
      <c r="K19" s="28"/>
      <c r="L19" s="28"/>
      <c r="N19" s="4"/>
    </row>
    <row r="20" spans="1:14" x14ac:dyDescent="0.25">
      <c r="B20" s="4"/>
      <c r="C20" s="4"/>
      <c r="D20" s="4"/>
      <c r="E20" s="4"/>
      <c r="F20" s="4"/>
      <c r="G20" s="4"/>
      <c r="H20" s="8"/>
      <c r="I20" s="4"/>
      <c r="J20" s="4"/>
      <c r="K20" s="4"/>
      <c r="L20" s="4"/>
      <c r="N20" s="4"/>
    </row>
    <row r="21" spans="1:14" hidden="1" x14ac:dyDescent="0.25">
      <c r="D21" s="4"/>
      <c r="E21" s="4"/>
      <c r="F21" s="4"/>
      <c r="G21" s="4"/>
      <c r="H21" s="8"/>
      <c r="I21" s="4"/>
      <c r="J21" s="4"/>
      <c r="K21" s="4"/>
      <c r="L21" s="4"/>
    </row>
    <row r="22" spans="1:14" hidden="1" x14ac:dyDescent="0.25">
      <c r="H22" s="5"/>
    </row>
    <row r="23" spans="1:14" hidden="1" x14ac:dyDescent="0.25">
      <c r="H23" s="5"/>
    </row>
    <row r="24" spans="1:14" hidden="1" x14ac:dyDescent="0.25">
      <c r="H24" s="5"/>
    </row>
    <row r="25" spans="1:14" hidden="1" x14ac:dyDescent="0.25">
      <c r="H25" s="5"/>
    </row>
    <row r="26" spans="1:14" hidden="1" x14ac:dyDescent="0.25">
      <c r="H26" s="5"/>
    </row>
    <row r="27" spans="1:14" hidden="1" x14ac:dyDescent="0.25">
      <c r="H27" s="5"/>
    </row>
    <row r="28" spans="1:14" hidden="1" x14ac:dyDescent="0.25">
      <c r="H28" s="5"/>
    </row>
    <row r="29" spans="1:14" hidden="1" x14ac:dyDescent="0.25">
      <c r="H29" s="5"/>
    </row>
    <row r="30" spans="1:14" hidden="1" x14ac:dyDescent="0.25">
      <c r="H30" s="5"/>
    </row>
    <row r="31" spans="1:14" hidden="1" x14ac:dyDescent="0.25">
      <c r="H31" s="5"/>
    </row>
    <row r="32" spans="1:14" hidden="1" x14ac:dyDescent="0.25">
      <c r="H32" s="5"/>
    </row>
    <row r="33" spans="8:8" hidden="1" x14ac:dyDescent="0.25">
      <c r="H33" s="5"/>
    </row>
    <row r="34" spans="8:8" hidden="1" x14ac:dyDescent="0.25">
      <c r="H34" s="5"/>
    </row>
    <row r="35" spans="8:8" hidden="1" x14ac:dyDescent="0.25">
      <c r="H35" s="5"/>
    </row>
    <row r="36" spans="8:8" hidden="1" x14ac:dyDescent="0.25">
      <c r="H36" s="5"/>
    </row>
    <row r="37" spans="8:8" hidden="1" x14ac:dyDescent="0.25">
      <c r="H37" s="5"/>
    </row>
    <row r="38" spans="8:8" hidden="1" x14ac:dyDescent="0.25">
      <c r="H38" s="5"/>
    </row>
    <row r="39" spans="8:8" hidden="1" x14ac:dyDescent="0.25">
      <c r="H39" s="5"/>
    </row>
    <row r="40" spans="8:8" hidden="1" x14ac:dyDescent="0.25">
      <c r="H40" s="5"/>
    </row>
    <row r="41" spans="8:8" hidden="1" x14ac:dyDescent="0.25">
      <c r="H41" s="5"/>
    </row>
    <row r="42" spans="8:8" hidden="1" x14ac:dyDescent="0.25">
      <c r="H42" s="5"/>
    </row>
    <row r="43" spans="8:8" hidden="1" x14ac:dyDescent="0.25">
      <c r="H43" s="5"/>
    </row>
    <row r="44" spans="8:8" hidden="1" x14ac:dyDescent="0.25">
      <c r="H44" s="5"/>
    </row>
    <row r="45" spans="8:8" hidden="1" x14ac:dyDescent="0.25">
      <c r="H45" s="5"/>
    </row>
    <row r="46" spans="8:8" hidden="1" x14ac:dyDescent="0.25">
      <c r="H46" s="5"/>
    </row>
    <row r="47" spans="8:8" hidden="1" x14ac:dyDescent="0.25">
      <c r="H47" s="5"/>
    </row>
    <row r="48" spans="8:8" hidden="1" x14ac:dyDescent="0.25">
      <c r="H48" s="5"/>
    </row>
    <row r="49" spans="8:8" hidden="1" x14ac:dyDescent="0.25">
      <c r="H49" s="5"/>
    </row>
  </sheetData>
  <autoFilter ref="C5:L16" xr:uid="{3E41EC74-E02D-4305-9491-B6865A01A448}"/>
  <mergeCells count="19">
    <mergeCell ref="A6:A8"/>
    <mergeCell ref="A9:A11"/>
    <mergeCell ref="A12:A14"/>
    <mergeCell ref="A15:A17"/>
    <mergeCell ref="C1:D2"/>
    <mergeCell ref="G1:H2"/>
    <mergeCell ref="E1:F2"/>
    <mergeCell ref="I1:J2"/>
    <mergeCell ref="A3:A5"/>
    <mergeCell ref="H18:H19"/>
    <mergeCell ref="I18:I19"/>
    <mergeCell ref="J18:J19"/>
    <mergeCell ref="K18:K19"/>
    <mergeCell ref="L18:L19"/>
    <mergeCell ref="C18:C19"/>
    <mergeCell ref="D18:D19"/>
    <mergeCell ref="E18:E19"/>
    <mergeCell ref="F18:F19"/>
    <mergeCell ref="G18:G19"/>
  </mergeCells>
  <pageMargins left="0.7" right="0.7" top="0.75" bottom="0.75" header="0.3" footer="0.3"/>
  <ignoredErrors>
    <ignoredError sqref="G7:G14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E8959-A621-4F14-A624-5E6FAE4D6B8E}">
  <sheetPr codeName="Arkusz3"/>
  <dimension ref="A1:U46"/>
  <sheetViews>
    <sheetView zoomScale="60" zoomScaleNormal="60" workbookViewId="0">
      <selection activeCell="Q30" sqref="Q30"/>
    </sheetView>
  </sheetViews>
  <sheetFormatPr defaultColWidth="0" defaultRowHeight="15" zeroHeight="1" x14ac:dyDescent="0.25"/>
  <cols>
    <col min="1" max="1" width="63.28515625" style="1" customWidth="1"/>
    <col min="2" max="3" width="9.140625" customWidth="1"/>
    <col min="4" max="4" width="17.140625" customWidth="1"/>
    <col min="5" max="9" width="9.140625" customWidth="1"/>
    <col min="10" max="10" width="2.140625" customWidth="1"/>
    <col min="11" max="11" width="9.140625" customWidth="1"/>
    <col min="12" max="12" width="11.85546875" customWidth="1"/>
    <col min="13" max="20" width="9.140625" customWidth="1"/>
    <col min="21" max="21" width="9.140625" style="4" customWidth="1"/>
    <col min="22" max="16384" width="9.140625" hidden="1"/>
  </cols>
  <sheetData>
    <row r="1" spans="1:20" x14ac:dyDescent="0.25">
      <c r="A1" s="43" t="s">
        <v>43</v>
      </c>
      <c r="B1" s="46" t="s">
        <v>33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4"/>
      <c r="T1" s="4"/>
    </row>
    <row r="2" spans="1:20" x14ac:dyDescent="0.25">
      <c r="A2" s="44"/>
      <c r="B2" s="47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4"/>
      <c r="T2" s="4"/>
    </row>
    <row r="3" spans="1:20" x14ac:dyDescent="0.25">
      <c r="A3" s="45"/>
      <c r="B3" s="47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4"/>
      <c r="T3" s="4"/>
    </row>
    <row r="4" spans="1:20" x14ac:dyDescent="0.25">
      <c r="A4" s="43" t="s">
        <v>44</v>
      </c>
      <c r="B4" s="47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4"/>
      <c r="T4" s="4"/>
    </row>
    <row r="5" spans="1:20" x14ac:dyDescent="0.25">
      <c r="A5" s="4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spans="1:20" ht="15" customHeight="1" x14ac:dyDescent="0.25">
      <c r="A6" s="45"/>
      <c r="B6" s="4"/>
      <c r="C6" s="4"/>
      <c r="D6" s="34" t="s">
        <v>22</v>
      </c>
      <c r="E6" s="34"/>
      <c r="F6" s="34"/>
      <c r="G6" s="34"/>
      <c r="H6" s="34"/>
      <c r="I6" s="11"/>
      <c r="J6" s="4"/>
      <c r="K6" s="12"/>
      <c r="L6" s="35" t="s">
        <v>23</v>
      </c>
      <c r="M6" s="35"/>
      <c r="N6" s="35"/>
      <c r="O6" s="35"/>
      <c r="P6" s="35"/>
      <c r="Q6" s="4"/>
      <c r="R6" s="4"/>
      <c r="S6" s="4"/>
      <c r="T6" s="4"/>
    </row>
    <row r="7" spans="1:20" ht="15" customHeight="1" x14ac:dyDescent="0.25">
      <c r="A7" s="43" t="s">
        <v>45</v>
      </c>
      <c r="B7" s="4"/>
      <c r="C7" s="4"/>
      <c r="D7" s="34"/>
      <c r="E7" s="34"/>
      <c r="F7" s="34"/>
      <c r="G7" s="34"/>
      <c r="H7" s="34"/>
      <c r="I7" s="11"/>
      <c r="J7" s="4"/>
      <c r="K7" s="12"/>
      <c r="L7" s="35"/>
      <c r="M7" s="35"/>
      <c r="N7" s="35"/>
      <c r="O7" s="35"/>
      <c r="P7" s="35"/>
      <c r="Q7" s="4"/>
      <c r="R7" s="4"/>
      <c r="S7" s="4"/>
      <c r="T7" s="4"/>
    </row>
    <row r="8" spans="1:20" x14ac:dyDescent="0.25">
      <c r="A8" s="44"/>
      <c r="B8" s="4"/>
      <c r="C8" s="4"/>
      <c r="D8" s="38">
        <f>SUM(E12:F16)</f>
        <v>11181.752471923828</v>
      </c>
      <c r="E8" s="39"/>
      <c r="F8" s="39"/>
      <c r="G8" s="39"/>
      <c r="H8" s="39"/>
      <c r="I8" s="11"/>
      <c r="J8" s="4"/>
      <c r="K8" s="12"/>
      <c r="L8" s="50">
        <f>SUM(M12:M14)</f>
        <v>22739.927673339844</v>
      </c>
      <c r="M8" s="51"/>
      <c r="N8" s="51"/>
      <c r="O8" s="51"/>
      <c r="P8" s="51"/>
      <c r="Q8" s="4"/>
      <c r="R8" s="4"/>
      <c r="S8" s="4"/>
      <c r="T8" s="4"/>
    </row>
    <row r="9" spans="1:20" x14ac:dyDescent="0.25">
      <c r="A9" s="45"/>
      <c r="B9" s="4"/>
      <c r="C9" s="4"/>
      <c r="D9" s="39"/>
      <c r="E9" s="39"/>
      <c r="F9" s="39"/>
      <c r="G9" s="39"/>
      <c r="H9" s="39"/>
      <c r="I9" s="11"/>
      <c r="J9" s="4"/>
      <c r="K9" s="12"/>
      <c r="L9" s="51"/>
      <c r="M9" s="51"/>
      <c r="N9" s="51"/>
      <c r="O9" s="51"/>
      <c r="P9" s="51"/>
      <c r="Q9" s="4"/>
      <c r="R9" s="4"/>
      <c r="S9" s="4"/>
      <c r="T9" s="4"/>
    </row>
    <row r="10" spans="1:20" x14ac:dyDescent="0.25">
      <c r="A10" s="43"/>
      <c r="B10" s="4"/>
      <c r="C10" s="4"/>
      <c r="D10" s="4"/>
      <c r="E10" s="4"/>
      <c r="F10" s="4"/>
      <c r="G10" s="4"/>
      <c r="H10" s="4"/>
      <c r="I10" s="11"/>
      <c r="J10" s="4"/>
      <c r="K10" s="12"/>
      <c r="L10" s="4"/>
      <c r="M10" s="4"/>
      <c r="N10" s="4"/>
      <c r="O10" s="4"/>
      <c r="P10" s="4"/>
      <c r="Q10" s="4"/>
      <c r="R10" s="4"/>
      <c r="S10" s="4"/>
      <c r="T10" s="4"/>
    </row>
    <row r="11" spans="1:20" x14ac:dyDescent="0.25">
      <c r="A11" s="44"/>
      <c r="B11" s="4"/>
      <c r="C11" s="4"/>
      <c r="D11" s="4"/>
      <c r="E11" s="33" t="s">
        <v>25</v>
      </c>
      <c r="F11" s="33"/>
      <c r="G11" s="33" t="s">
        <v>26</v>
      </c>
      <c r="H11" s="33"/>
      <c r="I11" s="11"/>
      <c r="J11" s="4"/>
      <c r="K11" s="12"/>
      <c r="M11" s="33" t="s">
        <v>25</v>
      </c>
      <c r="N11" s="33"/>
      <c r="O11" s="33" t="s">
        <v>26</v>
      </c>
      <c r="P11" s="33"/>
      <c r="Q11" s="4"/>
      <c r="R11" s="4"/>
      <c r="S11" s="4"/>
      <c r="T11" s="4"/>
    </row>
    <row r="12" spans="1:20" x14ac:dyDescent="0.25">
      <c r="A12" s="45"/>
      <c r="B12" s="4"/>
      <c r="C12" s="4"/>
      <c r="D12" s="2" t="s">
        <v>2</v>
      </c>
      <c r="E12" s="36">
        <f>SUMIF('Operations history'!E:E,'Month summary'!D12,'Operations history'!J:J)</f>
        <v>200</v>
      </c>
      <c r="F12" s="37"/>
      <c r="G12" s="36">
        <f>SUMIF('Operations history'!E:E,'Month summary'!D12,'Operations history'!I:I)</f>
        <v>0</v>
      </c>
      <c r="H12" s="37"/>
      <c r="I12" s="11"/>
      <c r="J12" s="4"/>
      <c r="K12" s="12"/>
      <c r="L12" s="2" t="s">
        <v>6</v>
      </c>
      <c r="M12" s="36">
        <f>SUMIF('Operations history'!E:E,'Month summary'!L12,'Operations history'!J:J)</f>
        <v>8017.7057495117188</v>
      </c>
      <c r="N12" s="37"/>
      <c r="O12" s="40">
        <f>SUMIF('Operations history'!E:E,'Month summary'!L12,'Operations history'!I:I)</f>
        <v>1566.2945175170898</v>
      </c>
      <c r="P12" s="40"/>
      <c r="Q12" s="4"/>
      <c r="R12" s="4"/>
      <c r="S12" s="4"/>
      <c r="T12" s="4"/>
    </row>
    <row r="13" spans="1:20" x14ac:dyDescent="0.25">
      <c r="A13" s="43" t="s">
        <v>46</v>
      </c>
      <c r="B13" s="4"/>
      <c r="C13" s="4"/>
      <c r="D13" s="2" t="s">
        <v>3</v>
      </c>
      <c r="E13" s="36">
        <f>SUMIF('Operations history'!E:E,'Month summary'!D13,'Operations history'!J:J)</f>
        <v>4878.048828125</v>
      </c>
      <c r="F13" s="37"/>
      <c r="G13" s="36">
        <f>SUMIF('Operations history'!E:E,'Month summary'!D13,'Operations history'!I:I)</f>
        <v>1121.951171875</v>
      </c>
      <c r="H13" s="37"/>
      <c r="I13" s="11"/>
      <c r="J13" s="4"/>
      <c r="K13" s="12"/>
      <c r="L13" s="2" t="s">
        <v>7</v>
      </c>
      <c r="M13" s="36">
        <f>SUMIF('Operations history'!E:E,'Month summary'!L13,'Operations history'!J:J)</f>
        <v>14722.221923828125</v>
      </c>
      <c r="N13" s="37"/>
      <c r="O13" s="40">
        <f>SUMIF('Operations history'!E:E,'Month summary'!L13,'Operations history'!I:I)</f>
        <v>1177.7777709960938</v>
      </c>
      <c r="P13" s="40"/>
      <c r="Q13" s="4"/>
      <c r="R13" s="4"/>
      <c r="S13" s="4"/>
      <c r="T13" s="4"/>
    </row>
    <row r="14" spans="1:20" x14ac:dyDescent="0.25">
      <c r="A14" s="44"/>
      <c r="B14" s="4"/>
      <c r="C14" s="4"/>
      <c r="D14" s="2" t="s">
        <v>4</v>
      </c>
      <c r="E14" s="36">
        <f>SUMIF('Operations history'!E:E,'Month summary'!D14,'Operations history'!J:J)</f>
        <v>370.37039184570313</v>
      </c>
      <c r="F14" s="37"/>
      <c r="G14" s="36">
        <f>SUMIF('Operations history'!E:E,'Month summary'!D14,'Operations history'!I:I)</f>
        <v>29.629600524902344</v>
      </c>
      <c r="H14" s="37"/>
      <c r="I14" s="11"/>
      <c r="J14" s="4"/>
      <c r="K14" s="12"/>
      <c r="L14" s="2" t="s">
        <v>8</v>
      </c>
      <c r="M14" s="36">
        <f>SUMIF('Operations history'!E:E,'Month summary'!L14,'Operations history'!J:J)</f>
        <v>0</v>
      </c>
      <c r="N14" s="37"/>
      <c r="O14" s="40">
        <f>SUMIF('Operations history'!E:E,'Month summary'!L14,'Operations history'!I:I)</f>
        <v>0</v>
      </c>
      <c r="P14" s="40"/>
      <c r="Q14" s="4"/>
      <c r="R14" s="4"/>
      <c r="S14" s="4"/>
      <c r="T14" s="4"/>
    </row>
    <row r="15" spans="1:20" x14ac:dyDescent="0.25">
      <c r="A15" s="45"/>
      <c r="B15" s="4"/>
      <c r="C15" s="4"/>
      <c r="D15" s="2" t="s">
        <v>5</v>
      </c>
      <c r="E15" s="36">
        <f>SUMIF('Operations history'!E:E,'Month summary'!D15,'Operations history'!J:J)</f>
        <v>5733.333251953125</v>
      </c>
      <c r="F15" s="37"/>
      <c r="G15" s="36">
        <f>SUMIF('Operations history'!E:E,'Month summary'!D15,'Operations history'!I:I)</f>
        <v>266.66668701171875</v>
      </c>
      <c r="H15" s="37"/>
      <c r="I15" s="11"/>
      <c r="J15" s="4"/>
      <c r="K15" s="12"/>
      <c r="L15" s="33" t="s">
        <v>28</v>
      </c>
      <c r="M15" s="33"/>
      <c r="N15" s="33"/>
      <c r="O15" s="40">
        <f>SUM(O12:P14)</f>
        <v>2744.0722885131836</v>
      </c>
      <c r="P15" s="33"/>
      <c r="Q15" s="4"/>
      <c r="R15" s="4"/>
      <c r="S15" s="4"/>
      <c r="T15" s="4"/>
    </row>
    <row r="16" spans="1:20" x14ac:dyDescent="0.25">
      <c r="B16" s="4"/>
      <c r="C16" s="4"/>
      <c r="D16" s="2" t="s">
        <v>8</v>
      </c>
      <c r="E16" s="36">
        <f>SUMIF('Operations history'!E:E,'Month summary'!D16,'Operations history'!J:J)</f>
        <v>0</v>
      </c>
      <c r="F16" s="37"/>
      <c r="G16" s="36">
        <f>SUMIF('Operations history'!E:E,'Month summary'!D16,'Operations history'!I:I)</f>
        <v>0</v>
      </c>
      <c r="H16" s="37"/>
      <c r="I16" s="11"/>
      <c r="J16" s="4"/>
      <c r="K16" s="12"/>
      <c r="L16" s="4"/>
      <c r="M16" s="4"/>
      <c r="N16" s="4"/>
      <c r="O16" s="4"/>
      <c r="P16" s="4"/>
      <c r="Q16" s="4"/>
      <c r="R16" s="4"/>
      <c r="S16" s="4"/>
      <c r="T16" s="4"/>
    </row>
    <row r="17" spans="1:20" x14ac:dyDescent="0.25">
      <c r="B17" s="4"/>
      <c r="C17" s="4"/>
      <c r="D17" s="33" t="s">
        <v>27</v>
      </c>
      <c r="E17" s="33"/>
      <c r="F17" s="33"/>
      <c r="G17" s="40">
        <f>SUM(G11:H16)</f>
        <v>1418.2474594116211</v>
      </c>
      <c r="H17" s="40"/>
      <c r="I17" s="11"/>
      <c r="J17" s="4"/>
      <c r="K17" s="12"/>
      <c r="M17" s="4"/>
      <c r="N17" s="4"/>
      <c r="O17" s="4"/>
      <c r="P17" s="4"/>
      <c r="Q17" s="4"/>
      <c r="R17" s="4"/>
      <c r="S17" s="4"/>
      <c r="T17" s="4"/>
    </row>
    <row r="18" spans="1:20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</row>
    <row r="19" spans="1:20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</row>
    <row r="20" spans="1:20" x14ac:dyDescent="0.25">
      <c r="A20" s="32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</row>
    <row r="21" spans="1:20" x14ac:dyDescent="0.25">
      <c r="A21" s="32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</row>
    <row r="22" spans="1:20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</row>
    <row r="23" spans="1:20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</row>
    <row r="24" spans="1:20" x14ac:dyDescent="0.25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</row>
    <row r="25" spans="1:20" x14ac:dyDescent="0.2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</row>
    <row r="26" spans="1:20" x14ac:dyDescent="0.25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</row>
    <row r="27" spans="1:20" x14ac:dyDescent="0.25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</row>
    <row r="28" spans="1:20" x14ac:dyDescent="0.2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</row>
    <row r="29" spans="1:20" x14ac:dyDescent="0.25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</row>
    <row r="30" spans="1:20" x14ac:dyDescent="0.25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</row>
    <row r="31" spans="1:20" x14ac:dyDescent="0.25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</row>
    <row r="32" spans="1:20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</row>
    <row r="33" spans="2:20" x14ac:dyDescent="0.25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</row>
    <row r="34" spans="2:20" x14ac:dyDescent="0.25">
      <c r="B34" s="4"/>
      <c r="C34" s="4"/>
      <c r="D34" s="27" t="s">
        <v>29</v>
      </c>
      <c r="E34" s="27"/>
      <c r="F34" s="27"/>
      <c r="G34" s="29">
        <f>O15-G17</f>
        <v>1325.8248291015625</v>
      </c>
      <c r="H34" s="29"/>
      <c r="I34" s="4"/>
      <c r="J34" s="4"/>
      <c r="K34" s="4"/>
      <c r="L34" s="49" t="s">
        <v>31</v>
      </c>
      <c r="M34" s="49"/>
      <c r="N34" s="41">
        <f>L8-D8-G36-G34</f>
        <v>8036.2970840454109</v>
      </c>
      <c r="O34" s="42"/>
      <c r="P34" s="42"/>
      <c r="Q34" s="4"/>
      <c r="R34" s="4"/>
      <c r="S34" s="4"/>
      <c r="T34" s="4"/>
    </row>
    <row r="35" spans="2:20" x14ac:dyDescent="0.25">
      <c r="B35" s="4"/>
      <c r="C35" s="4"/>
      <c r="D35" s="27"/>
      <c r="E35" s="27"/>
      <c r="F35" s="27"/>
      <c r="G35" s="29"/>
      <c r="H35" s="29"/>
      <c r="I35" s="4"/>
      <c r="J35" s="4"/>
      <c r="K35" s="4"/>
      <c r="L35" s="49"/>
      <c r="M35" s="49"/>
      <c r="N35" s="42"/>
      <c r="O35" s="42"/>
      <c r="P35" s="42"/>
      <c r="Q35" s="4"/>
      <c r="R35" s="4"/>
      <c r="S35" s="4"/>
      <c r="T35" s="4"/>
    </row>
    <row r="36" spans="2:20" x14ac:dyDescent="0.25">
      <c r="B36" s="4"/>
      <c r="C36" s="4"/>
      <c r="D36" s="48" t="s">
        <v>30</v>
      </c>
      <c r="E36" s="48"/>
      <c r="F36" s="48"/>
      <c r="G36" s="29">
        <f>(L8-D8)*19%</f>
        <v>2196.0532882690432</v>
      </c>
      <c r="H36" s="27"/>
      <c r="I36" s="4"/>
      <c r="J36" s="4"/>
      <c r="K36" s="4"/>
      <c r="L36" s="49"/>
      <c r="M36" s="49"/>
      <c r="N36" s="42"/>
      <c r="O36" s="42"/>
      <c r="P36" s="42"/>
      <c r="Q36" s="4"/>
      <c r="R36" s="4"/>
      <c r="S36" s="4"/>
      <c r="T36" s="4"/>
    </row>
    <row r="37" spans="2:20" x14ac:dyDescent="0.25">
      <c r="B37" s="4"/>
      <c r="C37" s="4"/>
      <c r="D37" s="48"/>
      <c r="E37" s="48"/>
      <c r="F37" s="48"/>
      <c r="G37" s="27"/>
      <c r="H37" s="27"/>
      <c r="I37" s="4"/>
      <c r="J37" s="4"/>
      <c r="K37" s="4"/>
      <c r="L37" s="49"/>
      <c r="M37" s="49"/>
      <c r="N37" s="42"/>
      <c r="O37" s="42"/>
      <c r="P37" s="42"/>
      <c r="Q37" s="4"/>
      <c r="R37" s="4"/>
      <c r="S37" s="4"/>
      <c r="T37" s="4"/>
    </row>
    <row r="38" spans="2:20" x14ac:dyDescent="0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</row>
    <row r="39" spans="2:20" x14ac:dyDescent="0.25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</row>
    <row r="40" spans="2:20" hidden="1" x14ac:dyDescent="0.25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</row>
    <row r="41" spans="2:20" hidden="1" x14ac:dyDescent="0.25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</row>
    <row r="42" spans="2:20" hidden="1" x14ac:dyDescent="0.25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</row>
    <row r="43" spans="2:20" hidden="1" x14ac:dyDescent="0.25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</row>
    <row r="44" spans="2:20" hidden="1" x14ac:dyDescent="0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</row>
    <row r="45" spans="2:20" hidden="1" x14ac:dyDescent="0.25">
      <c r="N45" s="4"/>
      <c r="O45" s="4"/>
      <c r="P45" s="4"/>
      <c r="Q45" s="4"/>
      <c r="R45" s="4"/>
      <c r="S45" s="4"/>
      <c r="T45" s="4"/>
    </row>
    <row r="46" spans="2:20" hidden="1" x14ac:dyDescent="0.25">
      <c r="N46" s="4"/>
      <c r="O46" s="4"/>
      <c r="P46" s="4"/>
      <c r="Q46" s="4"/>
      <c r="R46" s="4"/>
      <c r="S46" s="4"/>
      <c r="T46" s="4"/>
    </row>
  </sheetData>
  <mergeCells count="41">
    <mergeCell ref="L15:N15"/>
    <mergeCell ref="O15:P15"/>
    <mergeCell ref="L8:P9"/>
    <mergeCell ref="M12:N12"/>
    <mergeCell ref="M13:N13"/>
    <mergeCell ref="M14:N14"/>
    <mergeCell ref="N34:P37"/>
    <mergeCell ref="A1:A3"/>
    <mergeCell ref="A4:A6"/>
    <mergeCell ref="A7:A9"/>
    <mergeCell ref="A10:A12"/>
    <mergeCell ref="A13:A15"/>
    <mergeCell ref="B1:R4"/>
    <mergeCell ref="D34:F35"/>
    <mergeCell ref="G34:H35"/>
    <mergeCell ref="D36:F37"/>
    <mergeCell ref="G36:H37"/>
    <mergeCell ref="L34:M37"/>
    <mergeCell ref="O11:P11"/>
    <mergeCell ref="G16:H16"/>
    <mergeCell ref="E13:F13"/>
    <mergeCell ref="E14:F14"/>
    <mergeCell ref="E15:F15"/>
    <mergeCell ref="D17:F17"/>
    <mergeCell ref="G17:H17"/>
    <mergeCell ref="A20:A21"/>
    <mergeCell ref="E11:F11"/>
    <mergeCell ref="G11:H11"/>
    <mergeCell ref="D6:H7"/>
    <mergeCell ref="L6:P7"/>
    <mergeCell ref="G12:H12"/>
    <mergeCell ref="E12:F12"/>
    <mergeCell ref="D8:H9"/>
    <mergeCell ref="M11:N11"/>
    <mergeCell ref="O12:P12"/>
    <mergeCell ref="O13:P13"/>
    <mergeCell ref="O14:P14"/>
    <mergeCell ref="E16:F16"/>
    <mergeCell ref="G13:H13"/>
    <mergeCell ref="G14:H14"/>
    <mergeCell ref="G15:H1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8468D-0681-4E7A-893F-085DD75BA826}">
  <sheetPr codeName="Arkusz5"/>
  <dimension ref="A1:M17"/>
  <sheetViews>
    <sheetView zoomScale="73" zoomScaleNormal="73" workbookViewId="0">
      <selection activeCell="C12" sqref="C12"/>
    </sheetView>
  </sheetViews>
  <sheetFormatPr defaultColWidth="0" defaultRowHeight="15" zeroHeight="1" x14ac:dyDescent="0.25"/>
  <cols>
    <col min="1" max="1" width="63.28515625" style="1" customWidth="1"/>
    <col min="2" max="3" width="9.140625" style="4" customWidth="1"/>
    <col min="4" max="4" width="13.5703125" customWidth="1"/>
    <col min="5" max="12" width="9.140625" customWidth="1"/>
    <col min="13" max="13" width="9.140625" style="4" customWidth="1"/>
    <col min="14" max="16384" width="9.140625" hidden="1"/>
  </cols>
  <sheetData>
    <row r="1" spans="1:12" x14ac:dyDescent="0.25">
      <c r="A1" s="20" t="s">
        <v>43</v>
      </c>
      <c r="D1" s="53" t="s">
        <v>34</v>
      </c>
      <c r="E1" s="53"/>
      <c r="F1" s="53"/>
      <c r="G1" s="53"/>
      <c r="H1" s="53"/>
      <c r="I1" s="53"/>
      <c r="J1" s="53"/>
      <c r="K1" s="53"/>
      <c r="L1" s="53"/>
    </row>
    <row r="2" spans="1:12" x14ac:dyDescent="0.25">
      <c r="A2" s="20"/>
      <c r="D2" s="53"/>
      <c r="E2" s="53"/>
      <c r="F2" s="53"/>
      <c r="G2" s="53"/>
      <c r="H2" s="53"/>
      <c r="I2" s="53"/>
      <c r="J2" s="53"/>
      <c r="K2" s="53"/>
      <c r="L2" s="53"/>
    </row>
    <row r="3" spans="1:12" x14ac:dyDescent="0.25">
      <c r="A3" s="20"/>
      <c r="D3" s="52"/>
      <c r="E3" s="52"/>
      <c r="F3" s="52"/>
      <c r="G3" s="52"/>
      <c r="H3" s="52"/>
      <c r="I3" s="52"/>
      <c r="J3" s="52"/>
      <c r="K3" s="52"/>
      <c r="L3" s="52"/>
    </row>
    <row r="4" spans="1:12" x14ac:dyDescent="0.25">
      <c r="A4" s="20" t="s">
        <v>44</v>
      </c>
      <c r="D4" s="22" t="s">
        <v>35</v>
      </c>
      <c r="E4" s="22"/>
      <c r="F4" s="22"/>
      <c r="G4" s="22"/>
      <c r="H4" s="22"/>
      <c r="I4" s="22"/>
      <c r="J4" s="22"/>
      <c r="K4" s="22"/>
      <c r="L4" s="22"/>
    </row>
    <row r="5" spans="1:12" x14ac:dyDescent="0.25">
      <c r="A5" s="20"/>
      <c r="D5" s="22" t="s">
        <v>42</v>
      </c>
      <c r="E5" s="22"/>
      <c r="F5" s="22"/>
      <c r="G5" s="22"/>
      <c r="H5" s="22"/>
      <c r="I5" s="22"/>
      <c r="J5" s="22"/>
      <c r="K5" s="22"/>
      <c r="L5" s="22"/>
    </row>
    <row r="6" spans="1:12" x14ac:dyDescent="0.25">
      <c r="A6" s="20"/>
      <c r="D6" s="22" t="s">
        <v>36</v>
      </c>
      <c r="E6" s="22"/>
      <c r="F6" s="22"/>
      <c r="G6" s="22"/>
      <c r="H6" s="22"/>
      <c r="I6" s="22"/>
      <c r="J6" s="22"/>
      <c r="K6" s="22"/>
      <c r="L6" s="22"/>
    </row>
    <row r="7" spans="1:12" x14ac:dyDescent="0.25">
      <c r="A7" s="20" t="s">
        <v>45</v>
      </c>
      <c r="D7" s="22" t="s">
        <v>37</v>
      </c>
      <c r="E7" s="22"/>
      <c r="F7" s="22"/>
      <c r="G7" s="22"/>
      <c r="H7" s="22"/>
      <c r="I7" s="22"/>
      <c r="J7" s="22"/>
      <c r="K7" s="22"/>
      <c r="L7" s="22"/>
    </row>
    <row r="8" spans="1:12" x14ac:dyDescent="0.25">
      <c r="A8" s="20"/>
      <c r="D8" s="22" t="s">
        <v>38</v>
      </c>
      <c r="E8" s="22"/>
      <c r="F8" s="22"/>
      <c r="G8" s="22"/>
      <c r="H8" s="22"/>
      <c r="I8" s="22"/>
      <c r="J8" s="22"/>
      <c r="K8" s="22"/>
      <c r="L8" s="22"/>
    </row>
    <row r="9" spans="1:12" x14ac:dyDescent="0.25">
      <c r="A9" s="20"/>
      <c r="D9" s="52"/>
      <c r="E9" s="52"/>
      <c r="F9" s="52"/>
      <c r="G9" s="52"/>
      <c r="H9" s="52"/>
      <c r="I9" s="52"/>
      <c r="J9" s="52"/>
      <c r="K9" s="52"/>
      <c r="L9" s="52"/>
    </row>
    <row r="10" spans="1:12" x14ac:dyDescent="0.25">
      <c r="A10" s="20"/>
      <c r="D10" s="52"/>
      <c r="E10" s="52"/>
      <c r="F10" s="52"/>
      <c r="G10" s="52"/>
      <c r="H10" s="52"/>
      <c r="I10" s="52"/>
      <c r="J10" s="52"/>
      <c r="K10" s="52"/>
      <c r="L10" s="52"/>
    </row>
    <row r="11" spans="1:12" x14ac:dyDescent="0.25">
      <c r="A11" s="20"/>
      <c r="D11" s="52"/>
      <c r="E11" s="52"/>
      <c r="F11" s="52"/>
      <c r="G11" s="52"/>
      <c r="H11" s="52"/>
      <c r="I11" s="52"/>
      <c r="J11" s="52"/>
      <c r="K11" s="52"/>
      <c r="L11" s="52"/>
    </row>
    <row r="12" spans="1:12" x14ac:dyDescent="0.25">
      <c r="A12" s="20"/>
      <c r="D12" s="52"/>
      <c r="E12" s="52"/>
      <c r="F12" s="52"/>
      <c r="G12" s="52"/>
      <c r="H12" s="52"/>
      <c r="I12" s="52"/>
      <c r="J12" s="52"/>
      <c r="K12" s="52"/>
      <c r="L12" s="52"/>
    </row>
    <row r="13" spans="1:12" x14ac:dyDescent="0.25">
      <c r="A13" s="20" t="s">
        <v>46</v>
      </c>
      <c r="D13" s="52"/>
      <c r="E13" s="52"/>
      <c r="F13" s="52"/>
      <c r="G13" s="52"/>
      <c r="H13" s="52"/>
      <c r="I13" s="52"/>
      <c r="J13" s="52"/>
      <c r="K13" s="52"/>
      <c r="L13" s="52"/>
    </row>
    <row r="14" spans="1:12" x14ac:dyDescent="0.25">
      <c r="A14" s="20"/>
      <c r="D14" s="52"/>
      <c r="E14" s="52"/>
      <c r="F14" s="52"/>
      <c r="G14" s="52"/>
      <c r="H14" s="52"/>
      <c r="I14" s="52"/>
      <c r="J14" s="52"/>
      <c r="K14" s="52"/>
      <c r="L14" s="52"/>
    </row>
    <row r="15" spans="1:12" x14ac:dyDescent="0.25">
      <c r="A15" s="20"/>
      <c r="D15" s="52"/>
      <c r="E15" s="52"/>
      <c r="F15" s="52"/>
      <c r="G15" s="52"/>
      <c r="H15" s="52"/>
      <c r="I15" s="52"/>
      <c r="J15" s="52"/>
      <c r="K15" s="52"/>
      <c r="L15" s="52"/>
    </row>
    <row r="16" spans="1:12" hidden="1" x14ac:dyDescent="0.25">
      <c r="A16" s="32"/>
    </row>
    <row r="17" spans="1:1" hidden="1" x14ac:dyDescent="0.25">
      <c r="A17" s="32"/>
    </row>
  </sheetData>
  <mergeCells count="20">
    <mergeCell ref="D15:L15"/>
    <mergeCell ref="D1:L2"/>
    <mergeCell ref="D9:L9"/>
    <mergeCell ref="D10:L10"/>
    <mergeCell ref="D11:L11"/>
    <mergeCell ref="D12:L12"/>
    <mergeCell ref="D13:L13"/>
    <mergeCell ref="D14:L14"/>
    <mergeCell ref="D3:L3"/>
    <mergeCell ref="D4:L4"/>
    <mergeCell ref="D5:L5"/>
    <mergeCell ref="D6:L6"/>
    <mergeCell ref="D7:L7"/>
    <mergeCell ref="D8:L8"/>
    <mergeCell ref="A16:A17"/>
    <mergeCell ref="A1:A3"/>
    <mergeCell ref="A4:A6"/>
    <mergeCell ref="A7:A9"/>
    <mergeCell ref="A10:A12"/>
    <mergeCell ref="A13:A1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044-6DC8-4E34-B106-046B399D9A5A}">
  <sheetPr codeName="Arkusz6"/>
  <dimension ref="B3:D14"/>
  <sheetViews>
    <sheetView workbookViewId="0">
      <selection activeCell="C3" sqref="C3"/>
    </sheetView>
  </sheetViews>
  <sheetFormatPr defaultRowHeight="15" x14ac:dyDescent="0.25"/>
  <cols>
    <col min="2" max="2" width="11.85546875" customWidth="1"/>
    <col min="3" max="3" width="19.140625" customWidth="1"/>
    <col min="4" max="4" width="18.42578125" customWidth="1"/>
  </cols>
  <sheetData>
    <row r="3" spans="2:4" x14ac:dyDescent="0.25">
      <c r="B3" s="2" t="s">
        <v>9</v>
      </c>
      <c r="C3" s="2" t="s">
        <v>0</v>
      </c>
      <c r="D3" s="2" t="s">
        <v>1</v>
      </c>
    </row>
    <row r="4" spans="2:4" x14ac:dyDescent="0.25">
      <c r="B4" s="2" t="str">
        <f>IF('Operation enter'!$E$2="INCOME",Lista!D4,Lista!C4)</f>
        <v>Service</v>
      </c>
      <c r="C4" s="2" t="s">
        <v>2</v>
      </c>
      <c r="D4" s="2" t="s">
        <v>6</v>
      </c>
    </row>
    <row r="5" spans="2:4" x14ac:dyDescent="0.25">
      <c r="B5" s="2" t="str">
        <f>IF('Operation enter'!$E$2="INCOME",Lista!D5,Lista!C5)</f>
        <v>Sell</v>
      </c>
      <c r="C5" s="2" t="s">
        <v>3</v>
      </c>
      <c r="D5" s="2" t="s">
        <v>7</v>
      </c>
    </row>
    <row r="6" spans="2:4" x14ac:dyDescent="0.25">
      <c r="B6" s="2" t="str">
        <f>IF('Operation enter'!$E$2="INCOME",Lista!D6,Lista!C6)</f>
        <v>Other</v>
      </c>
      <c r="C6" s="2" t="s">
        <v>4</v>
      </c>
      <c r="D6" s="2" t="s">
        <v>8</v>
      </c>
    </row>
    <row r="7" spans="2:4" x14ac:dyDescent="0.25">
      <c r="B7" s="2">
        <f>IF('Operation enter'!$E$2="INCOME",Lista!D7,Lista!C7)</f>
        <v>0</v>
      </c>
      <c r="C7" s="2" t="s">
        <v>5</v>
      </c>
      <c r="D7" s="2"/>
    </row>
    <row r="8" spans="2:4" x14ac:dyDescent="0.25">
      <c r="B8" s="2" t="str">
        <f>IF('Operation enter'!$E$2="INCOME",Lista!D8,Lista!C8)</f>
        <v xml:space="preserve"> </v>
      </c>
      <c r="C8" s="2" t="s">
        <v>8</v>
      </c>
      <c r="D8" s="2" t="s">
        <v>10</v>
      </c>
    </row>
    <row r="9" spans="2:4" x14ac:dyDescent="0.25">
      <c r="B9" s="2" t="str">
        <f>IF('Operation enter'!$E$2="INCOME",Lista!D9,Lista!C9)</f>
        <v xml:space="preserve"> </v>
      </c>
      <c r="C9" s="2"/>
      <c r="D9" s="2" t="s">
        <v>10</v>
      </c>
    </row>
    <row r="10" spans="2:4" x14ac:dyDescent="0.25">
      <c r="B10" s="2">
        <f>IF('Operation enter'!$E$2="INCOME",Lista!D10,Lista!C10)</f>
        <v>0</v>
      </c>
      <c r="C10" s="2"/>
      <c r="D10" s="2"/>
    </row>
    <row r="11" spans="2:4" x14ac:dyDescent="0.25">
      <c r="B11" s="2">
        <f>IF('Operation enter'!$E$2="INCOME",Lista!D11,Lista!C11)</f>
        <v>0</v>
      </c>
      <c r="C11" s="2"/>
      <c r="D11" s="2"/>
    </row>
    <row r="12" spans="2:4" x14ac:dyDescent="0.25">
      <c r="B12" s="2">
        <f>IF('Operation enter'!$E$2="INCOME",Lista!D12,Lista!C12)</f>
        <v>0</v>
      </c>
      <c r="C12" s="2"/>
      <c r="D12" s="2"/>
    </row>
    <row r="13" spans="2:4" x14ac:dyDescent="0.25">
      <c r="B13" s="2">
        <f>IF('Operation enter'!$E$2="INCOME",Lista!D13,Lista!C13)</f>
        <v>0</v>
      </c>
      <c r="C13" s="2"/>
      <c r="D13" s="2"/>
    </row>
    <row r="14" spans="2:4" x14ac:dyDescent="0.25">
      <c r="B14" s="2">
        <f>IF('Operation enter'!$E$2="INCOME",Lista!D14,Lista!C14)</f>
        <v>0</v>
      </c>
      <c r="C14" s="2"/>
      <c r="D14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Operation enter</vt:lpstr>
      <vt:lpstr>Operations history</vt:lpstr>
      <vt:lpstr>Month summary</vt:lpstr>
      <vt:lpstr>Profile setting</vt:lpstr>
      <vt:lpstr>Lista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Krzysztof Machalica</dc:creator>
  <cp:lastModifiedBy>Windows User</cp:lastModifiedBy>
  <dcterms:created xsi:type="dcterms:W3CDTF">2024-06-28T15:43:45Z</dcterms:created>
  <dcterms:modified xsi:type="dcterms:W3CDTF">2024-07-25T11:49:17Z</dcterms:modified>
</cp:coreProperties>
</file>